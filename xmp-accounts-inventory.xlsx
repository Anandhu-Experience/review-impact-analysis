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 Inventory" sheetId="1" state="visible" r:id="rId1"/>
    <sheet name="Gaps &amp; Decisions" sheetId="2" state="visible" r:id="rId2"/>
    <sheet name="Progress &amp; Legend" sheetId="3" state="visible" r:id="rId3"/>
  </sheets>
  <definedNames>
    <definedName name="_xlnm._FilterDatabase" localSheetId="0" hidden="1">'Accounts Inventory'!$A$1:$O$25</definedName>
    <definedName name="_xlnm._FilterDatabase" localSheetId="1" hidden="1">'Gaps &amp; Decisions'!$A$3:$H$15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ourier New"/>
      <sz val="8"/>
    </font>
    <font>
      <name val="Arial"/>
      <b val="1"/>
      <color rgb="001F3864"/>
      <sz val="13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Arial"/>
        <b val="1"/>
        <color rgb="007F6000"/>
        <sz val="10"/>
      </font>
      <fill>
        <patternFill patternType="solid">
          <fgColor rgb="00FFF2CC"/>
        </patternFill>
      </fill>
    </dxf>
    <dxf>
      <font>
        <name val="Arial"/>
        <b val="1"/>
        <color rgb="001F4E79"/>
        <sz val="10"/>
      </font>
      <fill>
        <patternFill patternType="solid">
          <fgColor rgb="00DDEBF7"/>
        </patternFill>
      </fill>
    </dxf>
    <dxf>
      <font>
        <name val="Arial"/>
        <b val="1"/>
        <color rgb="00403151"/>
        <sz val="10"/>
      </font>
      <fill>
        <patternFill patternType="solid">
          <fgColor rgb="00E4DFEC"/>
        </patternFill>
      </fill>
    </dxf>
    <dxf>
      <font>
        <name val="Arial"/>
        <b val="1"/>
        <color rgb="001E6B2E"/>
        <sz val="10"/>
      </font>
      <fill>
        <patternFill patternType="solid">
          <fgColor rgb="00D6EFD6"/>
        </patternFill>
      </fill>
    </dxf>
    <dxf>
      <font>
        <name val="Arial"/>
        <b val="1"/>
        <color rgb="00922B21"/>
        <sz val="10"/>
      </font>
      <fill>
        <patternFill patternType="solid">
          <fgColor rgb="00F8D7DA"/>
        </patternFill>
      </fill>
    </dxf>
    <dxf>
      <font>
        <name val="Arial"/>
        <b val="1"/>
        <color rgb="007F7F7F"/>
        <sz val="10"/>
      </font>
      <fill>
        <patternFill patternType="solid">
          <fgColor rgb="00EDEDED"/>
        </patternFill>
      </fill>
    </dxf>
    <dxf>
      <font>
        <name val="Arial"/>
        <b val="1"/>
        <color rgb="00922B21"/>
        <sz val="1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34" customWidth="1" min="3" max="3"/>
    <col width="38" customWidth="1" min="4" max="4"/>
    <col width="44" customWidth="1" min="5" max="5"/>
    <col width="46" customWidth="1" min="6" max="6"/>
    <col width="60" customWidth="1" min="7" max="7"/>
    <col width="46" customWidth="1" min="8" max="8"/>
    <col width="46" customWidth="1" min="9" max="9"/>
    <col width="15" customWidth="1" min="10" max="10"/>
    <col width="16" customWidth="1" min="11" max="11"/>
    <col width="14" customWidth="1" min="12" max="12"/>
    <col width="14" customWidth="1" min="13" max="13"/>
    <col width="12" customWidth="1" min="14" max="14"/>
    <col width="58" customWidth="1" min="15" max="15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Item</t>
        </is>
      </c>
      <c r="D1" s="1" t="inlineStr">
        <is>
          <t>Entry Point</t>
        </is>
      </c>
      <c r="E1" s="1" t="inlineStr">
        <is>
          <t>v2 Source Path</t>
        </is>
      </c>
      <c r="F1" s="1" t="inlineStr">
        <is>
          <t>What The User Does</t>
        </is>
      </c>
      <c r="G1" s="1" t="inlineStr">
        <is>
          <t>Key UI Elements</t>
        </is>
      </c>
      <c r="H1" s="1" t="inlineStr">
        <is>
          <t>API Endpoint(s)</t>
        </is>
      </c>
      <c r="I1" s="1" t="inlineStr">
        <is>
          <t>Permission / Role Gate</t>
        </is>
      </c>
      <c r="J1" s="1" t="inlineStr">
        <is>
          <t>Traffic Priority</t>
        </is>
      </c>
      <c r="K1" s="1" t="inlineStr">
        <is>
          <t>Port Decision</t>
        </is>
      </c>
      <c r="L1" s="1" t="inlineStr">
        <is>
          <t>Status</t>
        </is>
      </c>
      <c r="M1" s="1" t="inlineStr">
        <is>
          <t>Owner</t>
        </is>
      </c>
      <c r="N1" s="1" t="inlineStr">
        <is>
          <t>Target</t>
        </is>
      </c>
      <c r="O1" s="1" t="inlineStr">
        <is>
          <t>Notes / Gaps</t>
        </is>
      </c>
    </row>
    <row r="2">
      <c r="A2" s="2" t="inlineStr">
        <is>
          <t>ACC-01</t>
        </is>
      </c>
      <c r="B2" s="3" t="inlineStr">
        <is>
          <t>Screen</t>
        </is>
      </c>
      <c r="C2" s="2" t="inlineStr">
        <is>
          <t>Accounts List</t>
        </is>
      </c>
      <c r="D2" s="3" t="inlineStr">
        <is>
          <t>/admin/accounts  |  /user/accounts
Nav: 'Accounts'. Also the user-persona post-login landing when the user belongs to &gt;1 account.</t>
        </is>
      </c>
      <c r="E2" s="4" t="inlineStr">
        <is>
          <t>src/modules/Accounts/containers/index.js
src/modules/Accounts/components/index.js</t>
        </is>
      </c>
      <c r="F2" s="3" t="inlineStr">
        <is>
          <t>Browse, search and filter every account the user can see; switch the app's account context (enter an account); run per-account lifecycle actions.</t>
        </is>
      </c>
      <c r="G2" s="3" t="inlineStr">
        <is>
          <t>Composed of 4 regions: header band, filter side panel, table, row action menu.</t>
        </is>
      </c>
      <c r="H2" s="3" t="inlineStr">
        <is>
          <t>GET /v2/core/accounts?page&amp;limit&amp;key&amp;my_account&amp;new_account_flag&amp;sort_by&amp;order&amp;status&amp;org_id&amp;users</t>
        </is>
      </c>
      <c r="I2" s="3" t="inlineStr">
        <is>
          <t>Route accessKey 'accounts', checked against userPermission.nav_menu_list in routes/components/AuthPage.js</t>
        </is>
      </c>
      <c r="J2" s="3" t="inlineStr">
        <is>
          <t>P0</t>
        </is>
      </c>
      <c r="K2" s="3" t="inlineStr">
        <is>
          <t>Port as-is</t>
        </is>
      </c>
      <c r="L2" s="3" t="inlineStr">
        <is>
          <t>Not Started</t>
        </is>
      </c>
      <c r="M2" s="3" t="inlineStr">
        <is>
          <t>The ONLY screen in the module. No nested routes and no AntD Tabs anywhere in modules/Accounts.</t>
        </is>
      </c>
    </row>
    <row r="3">
      <c r="A3" s="5" t="inlineStr">
        <is>
          <t>ACC-02</t>
        </is>
      </c>
      <c r="B3" s="6" t="inlineStr">
        <is>
          <t>Region</t>
        </is>
      </c>
      <c r="C3" s="6" t="inlineStr">
        <is>
          <t>Header band</t>
        </is>
      </c>
      <c r="D3" s="6" t="inlineStr">
        <is>
          <t>Top of the Accounts List screen</t>
        </is>
      </c>
      <c r="E3" s="7" t="inlineStr">
        <is>
          <t>src/modules/Accounts/components/AccountsHeader/index.js</t>
        </is>
      </c>
      <c r="F3" s="6" t="inlineStr">
        <is>
          <t>Switch between the three list modes, open the advanced filter panel, start a new account.</t>
        </is>
      </c>
      <c r="G3" s="6" t="inlineStr">
        <is>
          <t>Segmented Button.Group used as de-facto tabs: New Accounts (my_account=0) / My Accounts (=1, default) / All Accounts (=2). Deactivation alert banner 'N Account has requested deactivation'. Advanced-filter toggle. 'New Account' button. Suspended-account message.</t>
        </is>
      </c>
      <c r="H3" s="6" t="inlineStr">
        <is>
          <t>Drives the my_account / new_account_flag params on the list endpoint</t>
        </is>
      </c>
      <c r="I3" s="6" t="inlineStr">
        <is>
          <t>Whole group only for isSuperAdmin || isOnboardingAdmin || isCSAdmin || isOnlyXPAAdmin. 'All Accounts' hidden for isOnlyXPAAdmin. Banner needs isSuperAdmin===1 &amp;&amp; deactivationRequestCount. 'New Account' needs userPermission.account includes 'create'.</t>
        </is>
      </c>
      <c r="J3" s="6" t="inlineStr">
        <is>
          <t>P0</t>
        </is>
      </c>
      <c r="K3" s="6" t="inlineStr">
        <is>
          <t>Redesign</t>
        </is>
      </c>
      <c r="L3" s="6" t="inlineStr">
        <is>
          <t>Not Started</t>
        </is>
      </c>
      <c r="M3" s="6" t="inlineStr">
        <is>
          <t>Button.Group is doing a tab's job. On the new shell make it a real segmented control / tabs.</t>
        </is>
      </c>
    </row>
    <row r="4">
      <c r="A4" s="5" t="inlineStr">
        <is>
          <t>ACC-03</t>
        </is>
      </c>
      <c r="B4" s="6" t="inlineStr">
        <is>
          <t>Region</t>
        </is>
      </c>
      <c r="C4" s="6" t="inlineStr">
        <is>
          <t>Filter side panel</t>
        </is>
      </c>
      <c r="D4" s="6" t="inlineStr">
        <is>
          <t>Advanced-filter toggle in the header band</t>
        </is>
      </c>
      <c r="E4" s="7" t="inlineStr">
        <is>
          <t>src/modules/Accounts/components/AccountsSearchFilter/index.js
src/modules/Accounts/components/AccountsSearchFilter/InfiniteScrollDropdown.js
src/modules/Accounts/components/AccountsSearchFilter/DropdownOptions.js</t>
        </is>
      </c>
      <c r="F4" s="6" t="inlineStr">
        <is>
          <t>Narrow the account list by free text, organization, status and username.</t>
        </is>
      </c>
      <c r="G4" s="6" t="inlineStr">
        <is>
          <t>Rendered in SidePanelCard titled 'Filter Accounts' with a global Clear. Search (debounced 800ms, placeholder 'E.g: California'). Organization: paginated infinite-scroll dropdown. Status: multi-select. Username: debounced search.</t>
        </is>
      </c>
      <c r="H4" s="6" t="inlineStr">
        <is>
          <t>GET /v2/core/organizations/get_organizations?key&amp;status=0,1&amp;limit=300&amp;type=accounts_filter</t>
        </is>
      </c>
      <c r="I4" s="6" t="inlineStr">
        <is>
          <t>Organization filter: isAdmin only. Username filter: isAdmin &amp;&amp; currentRole !== 'Sales Admin'.</t>
        </is>
      </c>
      <c r="J4" s="6" t="inlineStr">
        <is>
          <t>P0</t>
        </is>
      </c>
      <c r="K4" s="6" t="inlineStr">
        <is>
          <t>Port as-is</t>
        </is>
      </c>
      <c r="L4" s="6" t="inlineStr">
        <is>
          <t>Not Started</t>
        </is>
      </c>
      <c r="M4" s="6" t="inlineStr">
        <is>
          <t>Status values are raw numeric codes: Active=1, Inactive=-1, Deactivation requested=3, Onboarding=0, Suspended=-3. Map these explicitly on the new shell.</t>
        </is>
      </c>
    </row>
    <row r="5">
      <c r="A5" s="5" t="inlineStr">
        <is>
          <t>ACC-04</t>
        </is>
      </c>
      <c r="B5" s="6" t="inlineStr">
        <is>
          <t>Region</t>
        </is>
      </c>
      <c r="C5" s="6" t="inlineStr">
        <is>
          <t>Accounts table</t>
        </is>
      </c>
      <c r="D5" s="6" t="inlineStr">
        <is>
          <t>Body of the Accounts List screen</t>
        </is>
      </c>
      <c r="E5" s="7" t="inlineStr">
        <is>
          <t>src/modules/Accounts/components/AccountsList/index.js
src/modules/Accounts/components/AccountsList/partials/OnboardingInfo.js
src/modules/Accounts/components/AccountsList/partials/MismatchCount.js</t>
        </is>
      </c>
      <c r="F5" s="6" t="inlineStr">
        <is>
          <t>Read account state at a glance, enter an account, jump to that account's mismatches.</t>
        </is>
      </c>
      <c r="G5" s="6" t="inlineStr">
        <is>
          <t>AntD Table id='accountslist_table'. 7 columns: Accounts (name link enters the account; sortable; EX tag for exception accounts; deactivation icon for superadmin on status 3), Tiers, Users, Info (Onboarding badge + Mismatches badge), Activated On (sortable), Status (sortable), Action. Footer: Pagination + page-size dropdown, shown only when accountCount &gt; 10. No row selection.</t>
        </is>
      </c>
      <c r="H5" s="6" t="inlineStr">
        <is>
          <t>Same list endpoint; sorting via sort_by &amp; order params</t>
        </is>
      </c>
      <c r="I5" s="6" t="inlineStr">
        <is>
          <t>Tier Managers cannot open suspended accounts - the name renders as plain text and View is disabled.</t>
        </is>
      </c>
      <c r="J5" s="6" t="inlineStr">
        <is>
          <t>P0</t>
        </is>
      </c>
      <c r="K5" s="6" t="inlineStr">
        <is>
          <t>Port as-is</t>
        </is>
      </c>
      <c r="L5" s="6" t="inlineStr">
        <is>
          <t>Not Started</t>
        </is>
      </c>
      <c r="M5" s="6" t="inlineStr">
        <is>
          <t>No bulk actions and no export exist anywhere in this module - see GAP-09 before assuming that is intentional.</t>
        </is>
      </c>
    </row>
    <row r="6">
      <c r="A6" s="5" t="inlineStr">
        <is>
          <t>ACC-05</t>
        </is>
      </c>
      <c r="B6" s="6" t="inlineStr">
        <is>
          <t>Region</t>
        </is>
      </c>
      <c r="C6" s="6" t="inlineStr">
        <is>
          <t>Row action menu</t>
        </is>
      </c>
      <c r="D6" s="6" t="inlineStr">
        <is>
          <t>'Action' column on each table row</t>
        </is>
      </c>
      <c r="E6" s="7" t="inlineStr">
        <is>
          <t>src/modules/Accounts/components/AccountsList/partials/ActionItem.js</t>
        </is>
      </c>
      <c r="F6" s="6" t="inlineStr">
        <is>
          <t>Run per-account admin lifecycle actions.</t>
        </is>
      </c>
      <c r="G6" s="6" t="inlineStr">
        <is>
          <t>11 permission-gated items: Account Settings, Mark as Exception, Remove as Exception, Configure Bundles, Configure Products, Duplicate Account, Assign Manager, Edit Account, Suspend Account, Reactivate Account, Activate. For status===3 the row shows a single Accept/Reject button instead of the menu.</t>
        </is>
      </c>
      <c r="H6" s="6" t="inlineStr">
        <is>
          <t>Each item dispatches its own call - see the drawer rows below</t>
        </is>
      </c>
      <c r="I6" s="6" t="inlineStr">
        <is>
          <t>Per item, from userPermission.account: setting, mark_exception, remove_exception, bundles, duplicate, activate, activate_onboarding; plus editPermission and isSuperAdmin. Every item is disabled when !isSuperAdmin &amp;&amp; item.status===-3.</t>
        </is>
      </c>
      <c r="J6" s="6" t="inlineStr">
        <is>
          <t>P0</t>
        </is>
      </c>
      <c r="K6" s="6" t="inlineStr">
        <is>
          <t>Redesign</t>
        </is>
      </c>
      <c r="L6" s="6" t="inlineStr">
        <is>
          <t>Not Started</t>
        </is>
      </c>
      <c r="M6" s="6" t="inlineStr">
        <is>
          <t>11 gated items behind one dropdown. Parity of capability, not layout - split into inline primary actions plus an overflow menu (GAP-12).</t>
        </is>
      </c>
    </row>
    <row r="7">
      <c r="A7" s="5" t="inlineStr">
        <is>
          <t>ACC-06</t>
        </is>
      </c>
      <c r="B7" s="6" t="inlineStr">
        <is>
          <t>Drawer</t>
        </is>
      </c>
      <c r="C7" s="6" t="inlineStr">
        <is>
          <t>New Account</t>
        </is>
      </c>
      <c r="D7" s="6" t="inlineStr">
        <is>
          <t>'New Account' button in the header band (id=newaccount_drawer)</t>
        </is>
      </c>
      <c r="E7" s="7" t="inlineStr">
        <is>
          <t>src/modules/Accounts/components/AccountsHeader/partials/NewAccountDrawer.js
src/modules/Accounts/components/AccountsHeader/partials/NewAccount.js</t>
        </is>
      </c>
      <c r="F7" s="6" t="inlineStr">
        <is>
          <t>Create a new account.</t>
        </is>
      </c>
      <c r="G7" s="6" t="inlineStr">
        <is>
          <t>Fields: account name, Vertical, category, Products &amp; Services (ServicesDropdown), Blueprint, Organization, Country, Time Zone (options depend on Country), Date Format (auto-derived).</t>
        </is>
      </c>
      <c r="H7" s="6" t="inlineStr">
        <is>
          <t>POST /v2/core/accounts
GET /v2/core/verticals?key&amp;limit=2000&amp;source=UI
GET /v2/prl/country</t>
        </is>
      </c>
      <c r="I7" s="6" t="inlineStr">
        <is>
          <t>userPermission.account includes 'create'</t>
        </is>
      </c>
      <c r="J7" s="6" t="inlineStr">
        <is>
          <t>P0</t>
        </is>
      </c>
      <c r="K7" s="6" t="inlineStr">
        <is>
          <t>Port as-is</t>
        </is>
      </c>
      <c r="L7" s="6" t="inlineStr">
        <is>
          <t>Not Started</t>
        </is>
      </c>
      <c r="M7" s="6" t="inlineStr">
        <is>
          <t>Time Zone list is dependent on the selected Country - keep that dependency on the new shell.</t>
        </is>
      </c>
    </row>
    <row r="8">
      <c r="A8" s="5" t="inlineStr">
        <is>
          <t>ACC-07</t>
        </is>
      </c>
      <c r="B8" s="6" t="inlineStr">
        <is>
          <t>Inline section</t>
        </is>
      </c>
      <c r="C8" s="6" t="inlineStr">
        <is>
          <t>New Account &gt; Create New Organization</t>
        </is>
      </c>
      <c r="D8" s="6" t="inlineStr">
        <is>
          <t>'Create New' option inside the Organization dropdown of ACC-06</t>
        </is>
      </c>
      <c r="E8" s="7" t="inlineStr">
        <is>
          <t>src/modules/Accounts/components/AccountsHeader/partials/NewAccountOrg.js</t>
        </is>
      </c>
      <c r="F8" s="6" t="inlineStr">
        <is>
          <t>Create an organization inline without leaving the new-account flow.</t>
        </is>
      </c>
      <c r="G8" s="6" t="inlineStr">
        <is>
          <t>Fields: organization name, contact name, contact email, contact number, Onboarding Owner.</t>
        </is>
      </c>
      <c r="H8" s="6" t="inlineStr">
        <is>
          <t>Submitted as part of the POST /v2/core/accounts payload</t>
        </is>
      </c>
      <c r="I8" s="6" t="inlineStr">
        <is>
          <t>isSuperAdmin || isOnboardingAdmin. Hidden in duplicate mode. Entire block skipped for isOrgManager.</t>
        </is>
      </c>
      <c r="J8" s="6" t="inlineStr">
        <is>
          <t>P1</t>
        </is>
      </c>
      <c r="K8" s="6" t="inlineStr">
        <is>
          <t>Port as-is</t>
        </is>
      </c>
      <c r="L8" s="6" t="inlineStr">
        <is>
          <t>Not Started</t>
        </is>
      </c>
      <c r="M8" s="6" t="inlineStr">
        <is>
          <t>Nested creation inside a creation form - verify this is still wanted before reproducing it.</t>
        </is>
      </c>
    </row>
    <row r="9">
      <c r="A9" s="5" t="inlineStr">
        <is>
          <t>ACC-08</t>
        </is>
      </c>
      <c r="B9" s="6" t="inlineStr">
        <is>
          <t>Inline section</t>
        </is>
      </c>
      <c r="C9" s="6" t="inlineStr">
        <is>
          <t>New Account &gt; Add New Manager</t>
        </is>
      </c>
      <c r="D9" s="6" t="inlineStr">
        <is>
          <t>Toggle inside the ACC-06 drawer body</t>
        </is>
      </c>
      <c r="E9" s="7" t="inlineStr">
        <is>
          <t>src/modules/Accounts/components/AccountsHeader/partials/NewAccount.js</t>
        </is>
      </c>
      <c r="F9" s="6" t="inlineStr">
        <is>
          <t>Create the account's first manager inline.</t>
        </is>
      </c>
      <c r="G9" s="6" t="inlineStr">
        <is>
          <t>Fields: first name, last name, email, phone (country-aware validation).</t>
        </is>
      </c>
      <c r="H9" s="6" t="inlineStr">
        <is>
          <t>POST /v2/core/users</t>
        </is>
      </c>
      <c r="I9" s="6" t="inlineStr">
        <is>
          <t>Inherits the ACC-06 'create' gate</t>
        </is>
      </c>
      <c r="J9" s="6" t="inlineStr">
        <is>
          <t>P1</t>
        </is>
      </c>
      <c r="K9" s="6" t="inlineStr">
        <is>
          <t>Port as-is</t>
        </is>
      </c>
      <c r="L9" s="6" t="inlineStr">
        <is>
          <t>Not Started</t>
        </is>
      </c>
      <c r="M9" s="6" t="inlineStr">
        <is>
          <t>Phone validation is country-aware via react-international-phone + libphonenumber-js.</t>
        </is>
      </c>
    </row>
    <row r="10">
      <c r="A10" s="5" t="inlineStr">
        <is>
          <t>ACC-09</t>
        </is>
      </c>
      <c r="B10" s="6" t="inlineStr">
        <is>
          <t>Drawer</t>
        </is>
      </c>
      <c r="C10" s="6" t="inlineStr">
        <is>
          <t>Duplicate Account</t>
        </is>
      </c>
      <c r="D10" s="6" t="inlineStr">
        <is>
          <t>Row action menu &gt; Duplicate Account (id=duplicateaccount_drawer)</t>
        </is>
      </c>
      <c r="E10" s="7" t="inlineStr">
        <is>
          <t>src/modules/Accounts/components/AccountsHeader/partials/NewAccountDrawer.js (duplicate mode)</t>
        </is>
      </c>
      <c r="F10" s="6" t="inlineStr">
        <is>
          <t>Clone an existing account's configuration into a new account.</t>
        </is>
      </c>
      <c r="G10" s="6" t="inlineStr">
        <is>
          <t>Same form as ACC-06; the title and several fields switch to read-only duplicate mode and prefill from selectedAccountInfo.</t>
        </is>
      </c>
      <c r="H10" s="6" t="inlineStr">
        <is>
          <t>GET /v2/core/accounts/{accountId}
POST /v2/core/accounts</t>
        </is>
      </c>
      <c r="I10" s="6" t="inlineStr">
        <is>
          <t>userPermission.account includes 'duplicate'</t>
        </is>
      </c>
      <c r="J10" s="6" t="inlineStr">
        <is>
          <t>P1</t>
        </is>
      </c>
      <c r="K10" s="6" t="inlineStr">
        <is>
          <t>Port as-is</t>
        </is>
      </c>
      <c r="L10" s="6" t="inlineStr">
        <is>
          <t>Not Started</t>
        </is>
      </c>
      <c r="M10" s="6" t="inlineStr">
        <is>
          <t>Same component as ACC-06 in a different mode - port once with two modes, do not build twice.</t>
        </is>
      </c>
    </row>
    <row r="11">
      <c r="A11" s="5" t="inlineStr">
        <is>
          <t>ACC-10</t>
        </is>
      </c>
      <c r="B11" s="6" t="inlineStr">
        <is>
          <t>Drawer</t>
        </is>
      </c>
      <c r="C11" s="6" t="inlineStr">
        <is>
          <t>Edit Account</t>
        </is>
      </c>
      <c r="D11" s="6" t="inlineStr">
        <is>
          <t>Row action menu &gt; Edit Account (id=accountedit_drawer)</t>
        </is>
      </c>
      <c r="E11" s="7" t="inlineStr">
        <is>
          <t>src/modules/Accounts/components/AccountsList/partials/EditAccount.js</t>
        </is>
      </c>
      <c r="F11" s="6" t="inlineStr">
        <is>
          <t>Edit an existing account's core attributes.</t>
        </is>
      </c>
      <c r="G11" s="6" t="inlineStr">
        <is>
          <t>Fields: Name, Vertical, category, services, Blueprint (disabled), Country (disabled), Time Zone (enabled only for superadmin), Date Format (disabled). Vertical and category are locked when the account is Finance &gt; Bank.</t>
        </is>
      </c>
      <c r="H11" s="6" t="inlineStr">
        <is>
          <t>GET /v2/core/accounts/{accountId}
PUT /v2/core/accounts/{accountId}</t>
        </is>
      </c>
      <c r="I11" s="6" t="inlineStr">
        <is>
          <t>editPermission || currentRole === 'Organization Manager', and item.status !== 1</t>
        </is>
      </c>
      <c r="J11" s="6" t="inlineStr">
        <is>
          <t>P0</t>
        </is>
      </c>
      <c r="K11" s="6" t="inlineStr">
        <is>
          <t>Redesign</t>
        </is>
      </c>
      <c r="L11" s="6" t="inlineStr">
        <is>
          <t>Not Started</t>
        </is>
      </c>
      <c r="M11" s="6" t="inlineStr">
        <is>
          <t>4 of 7 fields are permanently disabled - a bad screen to reproduce faithfully. See GAP-10.</t>
        </is>
      </c>
    </row>
    <row r="12">
      <c r="A12" s="5" t="inlineStr">
        <is>
          <t>ACC-11</t>
        </is>
      </c>
      <c r="B12" s="6" t="inlineStr">
        <is>
          <t>Drawer</t>
        </is>
      </c>
      <c r="C12" s="6" t="inlineStr">
        <is>
          <t>Activate Account</t>
        </is>
      </c>
      <c r="D12" s="6" t="inlineStr">
        <is>
          <t>Row action menu &gt; Activate (id=accountactivation_drawer)</t>
        </is>
      </c>
      <c r="E12" s="7" t="inlineStr">
        <is>
          <t>src/modules/Accounts/components/AccountsList/partials/ActivateAdminAccount.js</t>
        </is>
      </c>
      <c r="F12" s="6" t="inlineStr">
        <is>
          <t>Confirm activation of an onboarding or inactive account.</t>
        </is>
      </c>
      <c r="G12" s="6" t="inlineStr">
        <is>
          <t>Confirmation dialog; on confirm calls AccountStatus({status: 1}).</t>
        </is>
      </c>
      <c r="H12" s="6" t="inlineStr">
        <is>
          <t>PUT /v2/core/accounts/{id}/activate</t>
        </is>
      </c>
      <c r="I12" s="6" t="inlineStr">
        <is>
          <t>(activate || activate_onboarding) + item.status is 0 or -1</t>
        </is>
      </c>
      <c r="J12" s="6" t="inlineStr">
        <is>
          <t>P1</t>
        </is>
      </c>
      <c r="K12" s="6" t="inlineStr">
        <is>
          <t>Redesign</t>
        </is>
      </c>
      <c r="L12" s="6" t="inlineStr">
        <is>
          <t>Not Started</t>
        </is>
      </c>
      <c r="M12" s="6" t="inlineStr">
        <is>
          <t>Duplicate capability with ACC-12 reached by a different route - collapse the two (GAP-08).</t>
        </is>
      </c>
    </row>
    <row r="13">
      <c r="A13" s="5" t="inlineStr">
        <is>
          <t>ACC-12</t>
        </is>
      </c>
      <c r="B13" s="6" t="inlineStr">
        <is>
          <t>Drawer</t>
        </is>
      </c>
      <c r="C13" s="6" t="inlineStr">
        <is>
          <t>Account Status - Onboarding</t>
        </is>
      </c>
      <c r="D13" s="6" t="inlineStr">
        <is>
          <t>'Onboarding' badge in the table's Info column</t>
        </is>
      </c>
      <c r="E13" s="7" t="inlineStr">
        <is>
          <t>src/modules/Accounts/components/index.js:389-415
src/modules/Accounts/components/AccountsList/partials/ActivateAccount.js</t>
        </is>
      </c>
      <c r="F13" s="6" t="inlineStr">
        <is>
          <t>A second, separate activate flow for onboarding accounts.</t>
        </is>
      </c>
      <c r="G13" s="6" t="inlineStr">
        <is>
          <t>Drawer titled 'Account Status - Onboarding' with Cancel / Activate footer.</t>
        </is>
      </c>
      <c r="H13" s="6" t="inlineStr">
        <is>
          <t>PUT /v2/core/accounts/{id}/activate</t>
        </is>
      </c>
      <c r="I13" s="6" t="inlineStr">
        <is>
          <t>canActivateOnboardingAccount (userPermission.account includes 'activate_onboarding')</t>
        </is>
      </c>
      <c r="J13" s="6" t="inlineStr">
        <is>
          <t>P1</t>
        </is>
      </c>
      <c r="K13" s="6" t="inlineStr">
        <is>
          <t>Redesign</t>
        </is>
      </c>
      <c r="L13" s="6" t="inlineStr">
        <is>
          <t>Not Started</t>
        </is>
      </c>
      <c r="M13" s="6" t="inlineStr">
        <is>
          <t>Same outcome as ACC-11 via a different entry point and a different component. Merge on the new shell.</t>
        </is>
      </c>
    </row>
    <row r="14">
      <c r="A14" s="5" t="inlineStr">
        <is>
          <t>ACC-13</t>
        </is>
      </c>
      <c r="B14" s="6" t="inlineStr">
        <is>
          <t>Drawer</t>
        </is>
      </c>
      <c r="C14" s="6" t="inlineStr">
        <is>
          <t>Account Deactivation Request</t>
        </is>
      </c>
      <c r="D14" s="6" t="inlineStr">
        <is>
          <t>Deactivation icon on the row, or the Accept/Reject button shown on status===3 rows (id=accountdeactivation_drawer)</t>
        </is>
      </c>
      <c r="E14" s="7" t="inlineStr">
        <is>
          <t>src/modules/Accounts/components/index.js:416-462
src/modules/Accounts/components/DeactivationDrawer/index.js</t>
        </is>
      </c>
      <c r="F14" s="6" t="inlineStr">
        <is>
          <t>Superadmin approves or rejects a tenant's request to deactivate their account.</t>
        </is>
      </c>
      <c r="G14" s="6" t="inlineStr">
        <is>
          <t>Warning list of consequences, Approve/Reject radio, reason textarea (mandatory when rejecting), 'Yes, Confirm' footer.</t>
        </is>
      </c>
      <c r="H14" s="6" t="inlineStr">
        <is>
          <t>PUT v2/core/accounts/{id}/deactivate?flag=confirm_deactivation|reject_deactivation</t>
        </is>
      </c>
      <c r="I14" s="6" t="inlineStr">
        <is>
          <t>isSuperAdmin===1 &amp;&amp; currentUser.id !== item.deactivated_request_id</t>
        </is>
      </c>
      <c r="J14" s="6" t="inlineStr">
        <is>
          <t>P1</t>
        </is>
      </c>
      <c r="K14" s="6" t="inlineStr">
        <is>
          <t>Port as-is</t>
        </is>
      </c>
      <c r="L14" s="6" t="inlineStr">
        <is>
          <t>Not Started</t>
        </is>
      </c>
      <c r="M14" s="6" t="inlineStr">
        <is>
          <t>The self-approval block (a superadmin cannot action their own request) is real business logic - keep it.</t>
        </is>
      </c>
    </row>
    <row r="15">
      <c r="A15" s="5" t="inlineStr">
        <is>
          <t>ACC-14</t>
        </is>
      </c>
      <c r="B15" s="6" t="inlineStr">
        <is>
          <t>Drawer</t>
        </is>
      </c>
      <c r="C15" s="6" t="inlineStr">
        <is>
          <t>Add / Remove Exception</t>
        </is>
      </c>
      <c r="D15" s="6" t="inlineStr">
        <is>
          <t>Row action menu &gt; Mark as Exception / Remove as Exception (id=addremoveexception_drawer)</t>
        </is>
      </c>
      <c r="E15" s="7" t="inlineStr">
        <is>
          <t>src/modules/Accounts/components/AccountsList/partials/AccountExceptions/index.js
src/modules/Accounts/components/AccountsList/partials/AccountExceptions/ExceptionHandler.js</t>
        </is>
      </c>
      <c r="F15" s="6" t="inlineStr">
        <is>
          <t>Flag or unflag an account as an exception account.</t>
        </is>
      </c>
      <c r="G15" s="6" t="inlineStr">
        <is>
          <t>Confirmation drawer with AlertBox; the flag surfaces as an 'EX' tag in the table's Accounts column.</t>
        </is>
      </c>
      <c r="H15" s="6" t="inlineStr">
        <is>
          <t>PUT /v2/core/accounts/{accountId}  body: {account: {is_exception}}</t>
        </is>
      </c>
      <c r="I15" s="6" t="inlineStr">
        <is>
          <t>mark_exception / remove_exception + item.status is 0 or 1</t>
        </is>
      </c>
      <c r="J15" s="6" t="inlineStr">
        <is>
          <t>P2</t>
        </is>
      </c>
      <c r="K15" s="6" t="inlineStr">
        <is>
          <t>Port as-is</t>
        </is>
      </c>
      <c r="L15" s="6" t="inlineStr">
        <is>
          <t>Not Started</t>
        </is>
      </c>
      <c r="M15" s="6" t="inlineStr">
        <is>
          <t>Mounted at the screen root and driven by the currentExceptionHandler state object rather than local row state.</t>
        </is>
      </c>
    </row>
    <row r="16">
      <c r="A16" s="5" t="inlineStr">
        <is>
          <t>ACC-15</t>
        </is>
      </c>
      <c r="B16" s="6" t="inlineStr">
        <is>
          <t>Drawer</t>
        </is>
      </c>
      <c r="C16" s="6" t="inlineStr">
        <is>
          <t>Suspend / Reactivate Account</t>
        </is>
      </c>
      <c r="D16" s="6" t="inlineStr">
        <is>
          <t>Row action menu &gt; Suspend Account / Reactivate Account (id=suspend-reactivate-account)</t>
        </is>
      </c>
      <c r="E16" s="7" t="inlineStr">
        <is>
          <t>src/modules/Accounts/components/AccountsList/partials/AccountSuspension/index.js
src/modules/Accounts/components/AccountsList/partials/AccountSuspension/SuspendReactivate.js</t>
        </is>
      </c>
      <c r="F16" s="6" t="inlineStr">
        <is>
          <t>Suspend an active account, or reactivate a suspended one.</t>
        </is>
      </c>
      <c r="G16" s="6" t="inlineStr">
        <is>
          <t>Mandatory reason textarea; the reason is surfaced later as a tooltip on the Status column.</t>
        </is>
      </c>
      <c r="H16" s="6" t="inlineStr">
        <is>
          <t>PUT /v2/core/accounts/{accountId}/suspend  |  /activate_suspended   body: {request_reason}</t>
        </is>
      </c>
      <c r="I16" s="6" t="inlineStr">
        <is>
          <t>isSuperAdmin===1. Suspend requires status===1; Reactivate requires status===-3.</t>
        </is>
      </c>
      <c r="J16" s="6" t="inlineStr">
        <is>
          <t>P1</t>
        </is>
      </c>
      <c r="K16" s="6" t="inlineStr">
        <is>
          <t>Port as-is</t>
        </is>
      </c>
      <c r="L16" s="6" t="inlineStr">
        <is>
          <t>Not Started</t>
        </is>
      </c>
      <c r="M16" s="6" t="inlineStr">
        <is>
          <t>Suspension puts the whole account into a read-only state elsewhere in the app (getIsSuspendedAccount) - that knock-on must survive the port.</t>
        </is>
      </c>
    </row>
    <row r="17">
      <c r="A17" s="5" t="inlineStr">
        <is>
          <t>ACC-16</t>
        </is>
      </c>
      <c r="B17" s="6" t="inlineStr">
        <is>
          <t>Modal</t>
        </is>
      </c>
      <c r="C17" s="6" t="inlineStr">
        <is>
          <t>Assign Account Manager</t>
        </is>
      </c>
      <c r="D17" s="6" t="inlineStr">
        <is>
          <t>Row action menu &gt; Assign Manager (id=accountmanagerassign_modal)</t>
        </is>
      </c>
      <c r="E17" s="7" t="inlineStr">
        <is>
          <t>src/modules/Accounts/components/AccountsList/partials/AssignManagerModal.js</t>
        </is>
      </c>
      <c r="F17" s="6" t="inlineStr">
        <is>
          <t>Assign a manager to the account from within the account's organization.</t>
        </is>
      </c>
      <c r="G17" s="6" t="inlineStr">
        <is>
          <t>AntD Modal with a debounced user search scoped to the account's organization.</t>
        </is>
      </c>
      <c r="H17" s="6" t="inlineStr">
        <is>
          <t>GET /v2/core/organizations/{id}/users?page&amp;limit&amp;key</t>
        </is>
      </c>
      <c r="I17" s="6" t="inlineStr">
        <is>
          <t>editPermission || currentRole === 'Organization Manager', and item.status !== 1</t>
        </is>
      </c>
      <c r="J17" s="6" t="inlineStr">
        <is>
          <t>P1</t>
        </is>
      </c>
      <c r="K17" s="6" t="inlineStr">
        <is>
          <t>Port as-is</t>
        </is>
      </c>
      <c r="L17" s="6" t="inlineStr">
        <is>
          <t>Not Started</t>
        </is>
      </c>
      <c r="M17" s="6" t="inlineStr">
        <is>
          <t>Supersedes the orphaned ManagerAssign.js (ACC-23).</t>
        </is>
      </c>
    </row>
    <row r="18">
      <c r="A18" s="5" t="inlineStr">
        <is>
          <t>ACC-17</t>
        </is>
      </c>
      <c r="B18" s="6" t="inlineStr">
        <is>
          <t>Cross-module dep</t>
        </is>
      </c>
      <c r="C18" s="5" t="inlineStr">
        <is>
          <t>Account Settings drawer</t>
        </is>
      </c>
      <c r="D18" s="6" t="inlineStr">
        <is>
          <t>Row action menu &gt; Account Settings</t>
        </is>
      </c>
      <c r="E18" s="7" t="inlineStr">
        <is>
          <t>src/modules/AccountSettings/containers (opened from src/modules/Accounts/components/AccountsList/partials/ActionItem.js:419)</t>
        </is>
      </c>
      <c r="F18" s="6" t="inlineStr">
        <is>
          <t>Opens the shared Account Settings drawer over the Accounts List.</t>
        </is>
      </c>
      <c r="G18" s="6" t="inlineStr">
        <is>
          <t>Owned by the AccountSettings module: 9 collapsible panels plus a 'Review Changes' diff state, and 2 sibling drawers.</t>
        </is>
      </c>
      <c r="H18" s="6" t="inlineStr">
        <is>
          <t>GET/PUT /v2/core/accounts/{id}/settings</t>
        </is>
      </c>
      <c r="I18" s="6" t="inlineStr">
        <is>
          <t>userPermission.account includes 'setting'</t>
        </is>
      </c>
      <c r="J18" s="6" t="inlineStr">
        <is>
          <t>P0</t>
        </is>
      </c>
      <c r="K18" s="6" t="inlineStr">
        <is>
          <t>Needs decision</t>
        </is>
      </c>
      <c r="L18" s="6" t="inlineStr">
        <is>
          <t>Not Started</t>
        </is>
      </c>
      <c r="M18" s="6" t="inlineStr">
        <is>
          <t>NOT owned by this module - gets its own inventory round. The Accounts port is blocked on it for full parity.</t>
        </is>
      </c>
    </row>
    <row r="19">
      <c r="A19" s="5" t="inlineStr">
        <is>
          <t>ACC-18</t>
        </is>
      </c>
      <c r="B19" s="6" t="inlineStr">
        <is>
          <t>Cross-module dep</t>
        </is>
      </c>
      <c r="C19" s="5" t="inlineStr">
        <is>
          <t>Configure Products drawer</t>
        </is>
      </c>
      <c r="D19" s="6" t="inlineStr">
        <is>
          <t>Row action menu &gt; Configure Products</t>
        </is>
      </c>
      <c r="E19" s="7" t="inlineStr">
        <is>
          <t>src/modules/Organizations/components/partials/ConfigureDrawer/index.js (opened from ActionItem.js:456)</t>
        </is>
      </c>
      <c r="F19" s="6" t="inlineStr">
        <is>
          <t>Configure the products enabled for the account.</t>
        </is>
      </c>
      <c r="G19" s="6" t="inlineStr">
        <is>
          <t>Owned by the Organizations module.</t>
        </is>
      </c>
      <c r="H19" s="6" t="inlineStr">
        <is>
          <t>Organizations module endpoints</t>
        </is>
      </c>
      <c r="I19" s="6" t="inlineStr">
        <is>
          <t>editPermission (authSelector.getAdminEditPermission)</t>
        </is>
      </c>
      <c r="J19" s="6" t="inlineStr">
        <is>
          <t>P1</t>
        </is>
      </c>
      <c r="K19" s="6" t="inlineStr">
        <is>
          <t>Needs decision</t>
        </is>
      </c>
      <c r="L19" s="6" t="inlineStr">
        <is>
          <t>Not Started</t>
        </is>
      </c>
      <c r="M19" s="6" t="inlineStr">
        <is>
          <t>Shared with Organizations - decide who ports it so it is not built twice.</t>
        </is>
      </c>
    </row>
    <row r="20">
      <c r="A20" s="5" t="inlineStr">
        <is>
          <t>ACC-19</t>
        </is>
      </c>
      <c r="B20" s="6" t="inlineStr">
        <is>
          <t>Cross-module dep</t>
        </is>
      </c>
      <c r="C20" s="5" t="inlineStr">
        <is>
          <t>Configure Bundles</t>
        </is>
      </c>
      <c r="D20" s="6" t="inlineStr">
        <is>
          <t>Row action menu &gt; Configure Bundles - navigates to /{admin|user}/account/bundles</t>
        </is>
      </c>
      <c r="E20" s="7" t="inlineStr">
        <is>
          <t>src/modules/Bundles (route at routes/config/admin.js:140, user.js:244)</t>
        </is>
      </c>
      <c r="F20" s="6" t="inlineStr">
        <is>
          <t>Leaves the Accounts screen for the Bundles module.</t>
        </is>
      </c>
      <c r="G20" s="6" t="inlineStr">
        <is>
          <t>A route navigation, not a drawer.</t>
        </is>
      </c>
      <c r="H20" s="6" t="inlineStr">
        <is>
          <t>Bundles module endpoints</t>
        </is>
      </c>
      <c r="I20" s="6" t="inlineStr">
        <is>
          <t>userPermission.account includes 'bundles'</t>
        </is>
      </c>
      <c r="J20" s="6" t="inlineStr">
        <is>
          <t>P2</t>
        </is>
      </c>
      <c r="K20" s="6" t="inlineStr">
        <is>
          <t>Needs decision</t>
        </is>
      </c>
      <c r="L20" s="6" t="inlineStr">
        <is>
          <t>Not Started</t>
        </is>
      </c>
      <c r="M20" s="6" t="inlineStr">
        <is>
          <t>Exit point from this module - only the menu item and its gate belong to the Accounts port.</t>
        </is>
      </c>
    </row>
    <row r="21">
      <c r="A21" s="8" t="inlineStr">
        <is>
          <t>ACC-20</t>
        </is>
      </c>
      <c r="B21" s="9" t="inlineStr">
        <is>
          <t>Dead code</t>
        </is>
      </c>
      <c r="C21" s="9" t="inlineStr">
        <is>
          <t>Sync to V1 drawer</t>
        </is>
      </c>
      <c r="D21" s="9" t="inlineStr">
        <is>
          <t>NONE - no live trigger</t>
        </is>
      </c>
      <c r="E21" s="10" t="inlineStr">
        <is>
          <t>src/modules/Accounts/components/index.js:354-388
src/modules/Accounts/components/SyncToV1/index.js</t>
        </is>
      </c>
      <c r="F21" s="9" t="inlineStr">
        <is>
          <t>Was: sync an account to V1 and show sync errors.</t>
        </is>
      </c>
      <c r="G21" s="9" t="inlineStr">
        <is>
          <t>Drawer is still rendered on every page load, but nothing can open it.</t>
        </is>
      </c>
      <c r="H21" s="9" t="inlineStr">
        <is>
          <t>Actions syncToV1 / updateSyncStatus still wired in actions.js + reducer.js</t>
        </is>
      </c>
      <c r="I21" s="9" t="inlineStr">
        <is>
          <t>n/a</t>
        </is>
      </c>
      <c r="J21" s="9" t="inlineStr">
        <is>
          <t>P2</t>
        </is>
      </c>
      <c r="K21" s="9" t="inlineStr">
        <is>
          <t>Drop</t>
        </is>
      </c>
      <c r="L21" s="9" t="inlineStr">
        <is>
          <t>Excluded</t>
        </is>
      </c>
      <c r="M21" s="9" t="inlineStr">
        <is>
          <t>VERIFIED DEAD: onSync and onAccountSync are commented out of the consumer's props at AccountsList/index.js:95 and :98. See GAP-01.</t>
        </is>
      </c>
    </row>
    <row r="22">
      <c r="A22" s="8" t="inlineStr">
        <is>
          <t>ACC-21</t>
        </is>
      </c>
      <c r="B22" s="9" t="inlineStr">
        <is>
          <t>Dead code</t>
        </is>
      </c>
      <c r="C22" s="9" t="inlineStr">
        <is>
          <t>Assign Admin modal (Customer Success Admin)</t>
        </is>
      </c>
      <c r="D22" s="9" t="inlineStr">
        <is>
          <t>NONE - no live trigger</t>
        </is>
      </c>
      <c r="E22" s="10" t="inlineStr">
        <is>
          <t>src/modules/Accounts/components/AccountsList/partials/AssignAdminModal.js</t>
        </is>
      </c>
      <c r="F22" s="9" t="inlineStr">
        <is>
          <t>Was: assign a Customer Success Admin to the account.</t>
        </is>
      </c>
      <c r="G22" s="9" t="inlineStr">
        <is>
          <t>Modal is rendered and its open handler is defined, but the handler is never invoked.</t>
        </is>
      </c>
      <c r="H22" s="9" t="inlineStr">
        <is>
          <t>n/a</t>
        </is>
      </c>
      <c r="I22" s="9" t="inlineStr">
        <is>
          <t>n/a</t>
        </is>
      </c>
      <c r="J22" s="9" t="inlineStr">
        <is>
          <t>P2</t>
        </is>
      </c>
      <c r="K22" s="9" t="inlineStr">
        <is>
          <t>Drop</t>
        </is>
      </c>
      <c r="L22" s="9" t="inlineStr">
        <is>
          <t>Excluded</t>
        </is>
      </c>
      <c r="M22" s="9" t="inlineStr">
        <is>
          <t>VERIFIED DEAD: ActionItem.js:361 passes onClick={onAssignClick} to ActionMenu, and ActionMenu (ActionItem.js:40-64) never destructures onClick. See GAP-02.</t>
        </is>
      </c>
    </row>
    <row r="23">
      <c r="A23" s="8" t="inlineStr">
        <is>
          <t>ACC-22</t>
        </is>
      </c>
      <c r="B23" s="9" t="inlineStr">
        <is>
          <t>Dead code</t>
        </is>
      </c>
      <c r="C23" s="9" t="inlineStr">
        <is>
          <t>Deactivate Account drawer</t>
        </is>
      </c>
      <c r="D23" s="9" t="inlineStr">
        <is>
          <t>NONE - no live trigger</t>
        </is>
      </c>
      <c r="E23" s="10" t="inlineStr">
        <is>
          <t>src/modules/Accounts/components/AccountsList/partials/DeactivateAccount.js</t>
        </is>
      </c>
      <c r="F23" s="9" t="inlineStr">
        <is>
          <t>Was: directly deactivate an account.</t>
        </is>
      </c>
      <c r="G23" s="9" t="inlineStr">
        <is>
          <t>Drawer is rendered and its setter is forwarded, but no menu item invokes it.</t>
        </is>
      </c>
      <c r="H23" s="9" t="inlineStr">
        <is>
          <t>n/a</t>
        </is>
      </c>
      <c r="I23" s="9" t="inlineStr">
        <is>
          <t>n/a</t>
        </is>
      </c>
      <c r="J23" s="9" t="inlineStr">
        <is>
          <t>P2</t>
        </is>
      </c>
      <c r="K23" s="9" t="inlineStr">
        <is>
          <t>Drop</t>
        </is>
      </c>
      <c r="L23" s="9" t="inlineStr">
        <is>
          <t>Excluded</t>
        </is>
      </c>
      <c r="M23" s="9" t="inlineStr">
        <is>
          <t>VERIFIED DEAD: ActionItem.js:374 passes setShowDeactivateAccount to ActionMenu, which never destructures it. Deactivation now runs through the request/approve flow (ACC-13). See GAP-03.</t>
        </is>
      </c>
    </row>
    <row r="24">
      <c r="A24" s="8" t="inlineStr">
        <is>
          <t>ACC-23</t>
        </is>
      </c>
      <c r="B24" s="9" t="inlineStr">
        <is>
          <t>Dead code</t>
        </is>
      </c>
      <c r="C24" s="9" t="inlineStr">
        <is>
          <t>ManagerAssign.js (orphan file)</t>
        </is>
      </c>
      <c r="D24" s="9" t="inlineStr">
        <is>
          <t>NONE - file is never imported</t>
        </is>
      </c>
      <c r="E24" s="10" t="inlineStr">
        <is>
          <t>src/modules/Accounts/components/AccountsList/partials/ManagerAssign.js</t>
        </is>
      </c>
      <c r="F24" s="9" t="inlineStr">
        <is>
          <t>Was: an 'Assign Account Manager' drawer with an add/remove admin list.</t>
        </is>
      </c>
      <c r="G24" s="9" t="inlineStr">
        <is>
          <t>225 lines, unreferenced.</t>
        </is>
      </c>
      <c r="H24" s="9" t="inlineStr">
        <is>
          <t>n/a</t>
        </is>
      </c>
      <c r="I24" s="9" t="inlineStr">
        <is>
          <t>n/a</t>
        </is>
      </c>
      <c r="J24" s="9" t="inlineStr">
        <is>
          <t>P2</t>
        </is>
      </c>
      <c r="K24" s="9" t="inlineStr">
        <is>
          <t>Drop</t>
        </is>
      </c>
      <c r="L24" s="9" t="inlineStr">
        <is>
          <t>Excluded</t>
        </is>
      </c>
      <c r="M24" s="9" t="inlineStr">
        <is>
          <t>VERIFIED DEAD: zero imports repo-wide. Superseded by AssignManagerModal.js (ACC-16). See GAP-04.</t>
        </is>
      </c>
    </row>
    <row r="25">
      <c r="A25" s="8" t="inlineStr">
        <is>
          <t>ACC-24</t>
        </is>
      </c>
      <c r="B25" s="9" t="inlineStr">
        <is>
          <t>Dead code</t>
        </is>
      </c>
      <c r="C25" s="9" t="inlineStr">
        <is>
          <t>SyncStatus.js (orphan file)</t>
        </is>
      </c>
      <c r="D25" s="9" t="inlineStr">
        <is>
          <t>NONE - file is never imported</t>
        </is>
      </c>
      <c r="E25" s="10" t="inlineStr">
        <is>
          <t>src/modules/Accounts/components/AccountsList/partials/SyncStatus.js</t>
        </is>
      </c>
      <c r="F25" s="9" t="inlineStr">
        <is>
          <t>Was: the 'Not Synced' badge button that opened the Sync to V1 drawer.</t>
        </is>
      </c>
      <c r="G25" s="9" t="inlineStr">
        <is>
          <t>27 lines, unreferenced.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P2</t>
        </is>
      </c>
      <c r="K25" s="9" t="inlineStr">
        <is>
          <t>Drop</t>
        </is>
      </c>
      <c r="L25" s="9" t="inlineStr">
        <is>
          <t>Excluded</t>
        </is>
      </c>
      <c r="M25" s="9" t="inlineStr">
        <is>
          <t>VERIFIED DEAD: zero imports repo-wide. Removing this is what stranded ACC-20. See GAP-05.</t>
        </is>
      </c>
    </row>
  </sheetData>
  <autoFilter ref="A1:O25"/>
  <conditionalFormatting sqref="L2:L25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"In Review"</formula>
    </cfRule>
    <cfRule type="cellIs" priority="4" operator="equal" dxfId="3">
      <formula>"Done"</formula>
    </cfRule>
    <cfRule type="cellIs" priority="5" operator="equal" dxfId="4">
      <formula>"Blocked"</formula>
    </cfRule>
    <cfRule type="cellIs" priority="6" operator="equal" dxfId="5">
      <formula>"Excluded"</formula>
    </cfRule>
  </conditionalFormatting>
  <conditionalFormatting sqref="J2:J25">
    <cfRule type="cellIs" priority="7" operator="equal" dxfId="6">
      <formula>"P0"</formula>
    </cfRule>
  </conditionalFormatting>
  <dataValidations count="3">
    <dataValidation sqref="J2:J25" showDropDown="0" showInputMessage="0" showErrorMessage="0" allowBlank="1" type="list">
      <formula1>"P0,P1,P2"</formula1>
    </dataValidation>
    <dataValidation sqref="K2:K25" showDropDown="0" showInputMessage="0" showErrorMessage="0" allowBlank="1" type="list">
      <formula1>"Port as-is,Redesign,Drop,Needs decision"</formula1>
    </dataValidation>
    <dataValidation sqref="L2:L25" showDropDown="0" showInputMessage="0" showErrorMessage="0" allowBlank="1" type="list">
      <formula1>"Not Started,In Progress,In Review,Done,Blocked,Excluded"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52" customWidth="1" min="3" max="3"/>
    <col width="18" customWidth="1" min="4" max="4"/>
    <col width="62" customWidth="1" min="5" max="5"/>
    <col width="26" customWidth="1" min="6" max="6"/>
    <col width="16" customWidth="1" min="7" max="7"/>
    <col width="14" customWidth="1" min="8" max="8"/>
  </cols>
  <sheetData>
    <row r="1" ht="22" customHeight="1">
      <c r="A1" s="11" t="inlineStr">
        <is>
          <t>Gaps found while taking the inventory - written down now rather than discovered later</t>
        </is>
      </c>
    </row>
    <row r="3" ht="26" customHeight="1">
      <c r="A3" s="1" t="inlineStr">
        <is>
          <t>ID</t>
        </is>
      </c>
      <c r="B3" s="1" t="inlineStr">
        <is>
          <t>Finding</t>
        </is>
      </c>
      <c r="C3" s="1" t="inlineStr">
        <is>
          <t>Evidence (file:line)</t>
        </is>
      </c>
      <c r="D3" s="1" t="inlineStr">
        <is>
          <t>Type</t>
        </is>
      </c>
      <c r="E3" s="1" t="inlineStr">
        <is>
          <t>Recommendation</t>
        </is>
      </c>
      <c r="F3" s="1" t="inlineStr">
        <is>
          <t>Decision</t>
        </is>
      </c>
      <c r="G3" s="1" t="inlineStr">
        <is>
          <t>Decided By</t>
        </is>
      </c>
      <c r="H3" s="1" t="inlineStr">
        <is>
          <t>Date</t>
        </is>
      </c>
    </row>
    <row r="4">
      <c r="A4" s="5" t="inlineStr">
        <is>
          <t>GAP-01</t>
        </is>
      </c>
      <c r="B4" s="6" t="inlineStr">
        <is>
          <t>Sync to V1 drawer is rendered on every page load but has no reachable trigger</t>
        </is>
      </c>
      <c r="C4" s="7" t="inlineStr">
        <is>
          <t>src/modules/Accounts/components/index.js:354-388 vs src/modules/Accounts/components/AccountsList/index.js:95,98</t>
        </is>
      </c>
      <c r="D4" s="6" t="inlineStr">
        <is>
          <t>Dead code</t>
        </is>
      </c>
      <c r="E4" s="6" t="inlineStr">
        <is>
          <t>Do not port. Also remove the syncToV1 / updateSyncStatus actions and their reducer state, which are still wired.</t>
        </is>
      </c>
      <c r="F4" s="6" t="inlineStr"/>
      <c r="G4" s="6" t="inlineStr"/>
      <c r="H4" s="6" t="inlineStr"/>
    </row>
    <row r="5">
      <c r="A5" s="5" t="inlineStr">
        <is>
          <t>GAP-02</t>
        </is>
      </c>
      <c r="B5" s="6" t="inlineStr">
        <is>
          <t>Assign Admin ('Customer Success Admin') modal can never open</t>
        </is>
      </c>
      <c r="C5" s="7" t="inlineStr">
        <is>
          <t>src/modules/Accounts/components/AccountsList/partials/ActionItem.js:361 vs :40-64</t>
        </is>
      </c>
      <c r="D5" s="6" t="inlineStr">
        <is>
          <t>Dead code</t>
        </is>
      </c>
      <c r="E5" s="6" t="inlineStr">
        <is>
          <t>Do not port. Confirm with Geetha that CS-Admin assignment is not a capability users lost silently.</t>
        </is>
      </c>
      <c r="F5" s="6" t="inlineStr"/>
      <c r="G5" s="6" t="inlineStr"/>
      <c r="H5" s="6" t="inlineStr"/>
    </row>
    <row r="6">
      <c r="A6" s="5" t="inlineStr">
        <is>
          <t>GAP-03</t>
        </is>
      </c>
      <c r="B6" s="6" t="inlineStr">
        <is>
          <t>Deactivate Account drawer can never open</t>
        </is>
      </c>
      <c r="C6" s="7" t="inlineStr">
        <is>
          <t>src/modules/Accounts/components/AccountsList/partials/ActionItem.js:374 vs :40-64</t>
        </is>
      </c>
      <c r="D6" s="6" t="inlineStr">
        <is>
          <t>Dead code</t>
        </is>
      </c>
      <c r="E6" s="6" t="inlineStr">
        <is>
          <t>Do not port. Deactivation is handled by the request/approve flow (ACC-13).</t>
        </is>
      </c>
      <c r="F6" s="6" t="inlineStr"/>
      <c r="G6" s="6" t="inlineStr"/>
      <c r="H6" s="6" t="inlineStr"/>
    </row>
    <row r="7">
      <c r="A7" s="5" t="inlineStr">
        <is>
          <t>GAP-04</t>
        </is>
      </c>
      <c r="B7" s="6" t="inlineStr">
        <is>
          <t>ManagerAssign.js is an orphan - zero imports repo-wide</t>
        </is>
      </c>
      <c r="C7" s="7" t="inlineStr">
        <is>
          <t>src/modules/Accounts/components/AccountsList/partials/ManagerAssign.js</t>
        </is>
      </c>
      <c r="D7" s="6" t="inlineStr">
        <is>
          <t>Dead code</t>
        </is>
      </c>
      <c r="E7" s="6" t="inlineStr">
        <is>
          <t>Do not port. Superseded by AssignManagerModal.js.</t>
        </is>
      </c>
      <c r="F7" s="6" t="inlineStr"/>
      <c r="G7" s="6" t="inlineStr"/>
      <c r="H7" s="6" t="inlineStr"/>
    </row>
    <row r="8">
      <c r="A8" s="5" t="inlineStr">
        <is>
          <t>GAP-05</t>
        </is>
      </c>
      <c r="B8" s="6" t="inlineStr">
        <is>
          <t>SyncStatus.js is an orphan - zero imports repo-wide</t>
        </is>
      </c>
      <c r="C8" s="7" t="inlineStr">
        <is>
          <t>src/modules/Accounts/components/AccountsList/partials/SyncStatus.js</t>
        </is>
      </c>
      <c r="D8" s="6" t="inlineStr">
        <is>
          <t>Dead code</t>
        </is>
      </c>
      <c r="E8" s="6" t="inlineStr">
        <is>
          <t>Do not port. Its removal is what stranded the Sync to V1 drawer.</t>
        </is>
      </c>
      <c r="F8" s="6" t="inlineStr"/>
      <c r="G8" s="6" t="inlineStr"/>
      <c r="H8" s="6" t="inlineStr"/>
    </row>
    <row r="9">
      <c r="A9" s="5" t="inlineStr">
        <is>
          <t>GAP-06</t>
        </is>
      </c>
      <c r="B9" s="6" t="inlineStr">
        <is>
          <t>/admin/account and /user/account (singular) render a blank page</t>
        </is>
      </c>
      <c r="C9" s="7" t="inlineStr">
        <is>
          <t>src/routes/config/admin.js:169  |  src/routes/config/user.js:261</t>
        </is>
      </c>
      <c r="D9" s="6" t="inlineStr">
        <is>
          <t>Dead route</t>
        </is>
      </c>
      <c r="E9" s="6" t="inlineStr">
        <is>
          <t>Do not port the route. It maps to the AccountSettings drawer container with no showAccountSetting prop, so it renders an empty fragment.</t>
        </is>
      </c>
      <c r="F9" s="6" t="inlineStr"/>
      <c r="G9" s="6" t="inlineStr"/>
      <c r="H9" s="6" t="inlineStr"/>
    </row>
    <row r="10">
      <c r="A10" s="5" t="inlineStr">
        <is>
          <t>GAP-07</t>
        </is>
      </c>
      <c r="B10" s="6" t="inlineStr">
        <is>
          <t>/user/accounts is declared twice in the nav as 'Accounts' and 'Org Accounts'</t>
        </is>
      </c>
      <c r="C10" s="7" t="inlineStr">
        <is>
          <t>src/modules/Nav/userNavItems.js:105 and :116; resolved at Nav/components/index.js:992-1013</t>
        </is>
      </c>
      <c r="D10" s="6" t="inlineStr">
        <is>
          <t>Duplicate</t>
        </is>
      </c>
      <c r="E10" s="6" t="inlineStr">
        <is>
          <t>Ship one nav entry with a role-dependent label instead of two entries competing for the same path.</t>
        </is>
      </c>
      <c r="F10" s="6" t="inlineStr"/>
      <c r="G10" s="6" t="inlineStr"/>
      <c r="H10" s="6" t="inlineStr"/>
    </row>
    <row r="11">
      <c r="A11" s="5" t="inlineStr">
        <is>
          <t>GAP-08</t>
        </is>
      </c>
      <c r="B11" s="6" t="inlineStr">
        <is>
          <t>Two separate activate flows exist for the same outcome</t>
        </is>
      </c>
      <c r="C11" s="7" t="inlineStr">
        <is>
          <t>ActivateAdminAccount.js (row menu) vs ActivateAccount.js via src/modules/Accounts/components/index.js:389-415 (Onboarding badge)</t>
        </is>
      </c>
      <c r="D11" s="6" t="inlineStr">
        <is>
          <t>Redesign</t>
        </is>
      </c>
      <c r="E11" s="6" t="inlineStr">
        <is>
          <t>Collapse into a single activate flow with one entry point. Parity of capability, not of layout.</t>
        </is>
      </c>
      <c r="F11" s="6" t="inlineStr"/>
      <c r="G11" s="6" t="inlineStr"/>
      <c r="H11" s="6" t="inlineStr"/>
    </row>
    <row r="12">
      <c r="A12" s="5" t="inlineStr">
        <is>
          <t>GAP-09</t>
        </is>
      </c>
      <c r="B12" s="6" t="inlineStr">
        <is>
          <t>The module has no bulk actions and no export anywhere</t>
        </is>
      </c>
      <c r="C12" s="7" t="inlineStr">
        <is>
          <t>Whole module - src/modules/Accounts/components/AccountsList/index.js has no row selection</t>
        </is>
      </c>
      <c r="D12" s="6" t="inlineStr">
        <is>
          <t>Product decision</t>
        </is>
      </c>
      <c r="E12" s="6" t="inlineStr">
        <is>
          <t>Confirm this is intentional. For the largest-inventory product this looks like a capability gap worth closing during the port, not a parity item to preserve.</t>
        </is>
      </c>
      <c r="F12" s="6" t="inlineStr"/>
      <c r="G12" s="6" t="inlineStr"/>
      <c r="H12" s="6" t="inlineStr"/>
    </row>
    <row r="13">
      <c r="A13" s="5" t="inlineStr">
        <is>
          <t>GAP-10</t>
        </is>
      </c>
      <c r="B13" s="6" t="inlineStr">
        <is>
          <t>Edit Account shows 7 fields of which 4 are permanently disabled</t>
        </is>
      </c>
      <c r="C13" s="7" t="inlineStr">
        <is>
          <t>src/modules/Accounts/components/AccountsList/partials/EditAccount.js</t>
        </is>
      </c>
      <c r="D13" s="6" t="inlineStr">
        <is>
          <t>Redesign</t>
        </is>
      </c>
      <c r="E13" s="6" t="inlineStr">
        <is>
          <t>Either make Blueprint / Country / Date Format editable, or stop rendering them as dead inputs. Reproducing this faithfully is the failure mode named in the brief.</t>
        </is>
      </c>
      <c r="F13" s="6" t="inlineStr"/>
      <c r="G13" s="6" t="inlineStr"/>
      <c r="H13" s="6" t="inlineStr"/>
    </row>
    <row r="14">
      <c r="A14" s="5" t="inlineStr">
        <is>
          <t>GAP-11</t>
        </is>
      </c>
      <c r="B14" s="6" t="inlineStr">
        <is>
          <t>Accounts style and partial files are imported by other modules</t>
        </is>
      </c>
      <c r="C14" s="7" t="inlineStr">
        <is>
          <t>Imported by Organizations, UserManagement, Profile, Hierarchy and Settings</t>
        </is>
      </c>
      <c r="D14" s="6" t="inlineStr">
        <is>
          <t>Constraint</t>
        </is>
      </c>
      <c r="E14" s="6" t="inlineStr">
        <is>
          <t>Do not delete Accounts files when the module is ported. Shared pieces must be extracted first or those modules break.</t>
        </is>
      </c>
      <c r="F14" s="6" t="inlineStr"/>
      <c r="G14" s="6" t="inlineStr"/>
      <c r="H14" s="6" t="inlineStr"/>
    </row>
    <row r="15">
      <c r="A15" s="5" t="inlineStr">
        <is>
          <t>GAP-12</t>
        </is>
      </c>
      <c r="B15" s="6" t="inlineStr">
        <is>
          <t>Row action menu carries 11 permission-gated items in a single dropdown</t>
        </is>
      </c>
      <c r="C15" s="7" t="inlineStr">
        <is>
          <t>src/modules/Accounts/components/AccountsList/partials/ActionItem.js</t>
        </is>
      </c>
      <c r="D15" s="6" t="inlineStr">
        <is>
          <t>Redesign</t>
        </is>
      </c>
      <c r="E15" s="6" t="inlineStr">
        <is>
          <t>Split into 2-3 inline primary actions plus an overflow menu. Decide the primary set from traffic data.</t>
        </is>
      </c>
      <c r="F15" s="6" t="inlineStr"/>
      <c r="G15" s="6" t="inlineStr"/>
      <c r="H15" s="6" t="inlineStr"/>
    </row>
  </sheetData>
  <autoFilter ref="A3:H15"/>
  <mergeCells count="1">
    <mergeCell ref="A1:H1"/>
  </mergeCells>
  <dataValidations count="1">
    <dataValidation sqref="D4:D15" showDropDown="0" showInputMessage="0" showErrorMessage="0" allowBlank="1" type="list">
      <formula1>"Dead code,Dead route,Duplicate,Redesign,Product decision,Constraint"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96" customWidth="1" min="4" max="4"/>
  </cols>
  <sheetData>
    <row r="1">
      <c r="A1" s="11" t="inlineStr">
        <is>
          <t>XMP Port - Accounts Module Progress</t>
        </is>
      </c>
    </row>
    <row r="2">
      <c r="A2" s="12" t="inlineStr">
        <is>
          <t>All figures are live formulas over the 'Accounts Inventory' tab. Update Status there; this updates itself.</t>
        </is>
      </c>
    </row>
    <row r="4">
      <c r="A4" s="13" t="inlineStr">
        <is>
          <t>Headline</t>
        </is>
      </c>
    </row>
    <row r="5">
      <c r="A5" s="14" t="inlineStr">
        <is>
          <t>Total items inventoried</t>
        </is>
      </c>
      <c r="B5" s="13">
        <f>COUNTA('Accounts Inventory'!$A$2:$A$25)</f>
        <v/>
      </c>
    </row>
    <row r="6">
      <c r="A6" s="14" t="inlineStr">
        <is>
          <t>In scope (excludes Excluded)</t>
        </is>
      </c>
      <c r="B6" s="13">
        <f>COUNTA('Accounts Inventory'!$A$2:$A$25)-COUNTIF('Accounts Inventory'!$L$2:$L$25,"Excluded")</f>
        <v/>
      </c>
    </row>
    <row r="7">
      <c r="A7" s="14" t="inlineStr">
        <is>
          <t>Done</t>
        </is>
      </c>
      <c r="B7" s="13">
        <f>COUNTIF('Accounts Inventory'!$L$2:$L$25,"Done")</f>
        <v/>
      </c>
    </row>
    <row r="8">
      <c r="A8" s="14" t="inlineStr">
        <is>
          <t>% complete (in scope)</t>
        </is>
      </c>
      <c r="B8" s="15">
        <f>IFERROR(COUNTIF('Accounts Inventory'!$L$2:$L$25,"Done")/(COUNTA('Accounts Inventory'!$A$2:$A$25)-COUNTIF('Accounts Inventory'!$L$2:$L$25,"Excluded")),0)</f>
        <v/>
      </c>
    </row>
    <row r="9">
      <c r="A9" s="14" t="inlineStr">
        <is>
          <t>P0 items not yet Done</t>
        </is>
      </c>
      <c r="B9" s="13">
        <f>COUNTIFS('Accounts Inventory'!$J$2:$J$25,"P0",'Accounts Inventory'!$L$2:$L$25,"&lt;&gt;Done")</f>
        <v/>
      </c>
    </row>
    <row r="10">
      <c r="A10" s="14" t="inlineStr">
        <is>
          <t>Open gaps awaiting a decision</t>
        </is>
      </c>
      <c r="B10" s="13">
        <f>COUNTBLANK('Gaps &amp; Decisions'!$F$4:$F$15)</f>
        <v/>
      </c>
    </row>
    <row r="12">
      <c r="A12" s="13" t="inlineStr">
        <is>
          <t>By Status</t>
        </is>
      </c>
      <c r="B12" s="13" t="inlineStr">
        <is>
          <t>Count</t>
        </is>
      </c>
      <c r="C12" s="13" t="inlineStr">
        <is>
          <t>% of total</t>
        </is>
      </c>
    </row>
    <row r="13">
      <c r="A13" s="14" t="inlineStr">
        <is>
          <t>Not Started</t>
        </is>
      </c>
      <c r="B13" s="14">
        <f>COUNTIF('Accounts Inventory'!$L$2:$L$25,$A$13)</f>
        <v/>
      </c>
      <c r="C13" s="16">
        <f>IFERROR(B13/$B$5,0)</f>
        <v/>
      </c>
    </row>
    <row r="14">
      <c r="A14" s="14" t="inlineStr">
        <is>
          <t>In Progress</t>
        </is>
      </c>
      <c r="B14" s="14">
        <f>COUNTIF('Accounts Inventory'!$L$2:$L$25,$A$14)</f>
        <v/>
      </c>
      <c r="C14" s="16">
        <f>IFERROR(B14/$B$5,0)</f>
        <v/>
      </c>
    </row>
    <row r="15">
      <c r="A15" s="14" t="inlineStr">
        <is>
          <t>In Review</t>
        </is>
      </c>
      <c r="B15" s="14">
        <f>COUNTIF('Accounts Inventory'!$L$2:$L$25,$A$15)</f>
        <v/>
      </c>
      <c r="C15" s="16">
        <f>IFERROR(B15/$B$5,0)</f>
        <v/>
      </c>
    </row>
    <row r="16">
      <c r="A16" s="14" t="inlineStr">
        <is>
          <t>Done</t>
        </is>
      </c>
      <c r="B16" s="14">
        <f>COUNTIF('Accounts Inventory'!$L$2:$L$25,$A$16)</f>
        <v/>
      </c>
      <c r="C16" s="16">
        <f>IFERROR(B16/$B$5,0)</f>
        <v/>
      </c>
    </row>
    <row r="17">
      <c r="A17" s="14" t="inlineStr">
        <is>
          <t>Blocked</t>
        </is>
      </c>
      <c r="B17" s="14">
        <f>COUNTIF('Accounts Inventory'!$L$2:$L$25,$A$17)</f>
        <v/>
      </c>
      <c r="C17" s="16">
        <f>IFERROR(B17/$B$5,0)</f>
        <v/>
      </c>
    </row>
    <row r="18">
      <c r="A18" s="14" t="inlineStr">
        <is>
          <t>Excluded</t>
        </is>
      </c>
      <c r="B18" s="14">
        <f>COUNTIF('Accounts Inventory'!$L$2:$L$25,$A$18)</f>
        <v/>
      </c>
      <c r="C18" s="16">
        <f>IFERROR(B18/$B$5,0)</f>
        <v/>
      </c>
    </row>
    <row r="20">
      <c r="A20" s="13" t="inlineStr">
        <is>
          <t>By Traffic Priority</t>
        </is>
      </c>
      <c r="B20" s="13" t="inlineStr">
        <is>
          <t>Count</t>
        </is>
      </c>
      <c r="C20" s="13" t="inlineStr">
        <is>
          <t>Not Done</t>
        </is>
      </c>
    </row>
    <row r="21">
      <c r="A21" s="14" t="inlineStr">
        <is>
          <t>P0</t>
        </is>
      </c>
      <c r="B21" s="14">
        <f>COUNTIF('Accounts Inventory'!$J$2:$J$25,$A$21)</f>
        <v/>
      </c>
      <c r="C21" s="14">
        <f>COUNTIFS('Accounts Inventory'!$J$2:$J$25,$A$21,'Accounts Inventory'!$L$2:$L$25,"&lt;&gt;Done")</f>
        <v/>
      </c>
    </row>
    <row r="22">
      <c r="A22" s="14" t="inlineStr">
        <is>
          <t>P1</t>
        </is>
      </c>
      <c r="B22" s="14">
        <f>COUNTIF('Accounts Inventory'!$J$2:$J$25,$A$22)</f>
        <v/>
      </c>
      <c r="C22" s="14">
        <f>COUNTIFS('Accounts Inventory'!$J$2:$J$25,$A$22,'Accounts Inventory'!$L$2:$L$25,"&lt;&gt;Done")</f>
        <v/>
      </c>
    </row>
    <row r="23">
      <c r="A23" s="14" t="inlineStr">
        <is>
          <t>P2</t>
        </is>
      </c>
      <c r="B23" s="14">
        <f>COUNTIF('Accounts Inventory'!$J$2:$J$25,$A$23)</f>
        <v/>
      </c>
      <c r="C23" s="14">
        <f>COUNTIFS('Accounts Inventory'!$J$2:$J$25,$A$23,'Accounts Inventory'!$L$2:$L$25,"&lt;&gt;Done")</f>
        <v/>
      </c>
    </row>
    <row r="25">
      <c r="A25" s="13" t="inlineStr">
        <is>
          <t>By Port Decision</t>
        </is>
      </c>
      <c r="B25" s="13" t="inlineStr">
        <is>
          <t>Count</t>
        </is>
      </c>
    </row>
    <row r="26">
      <c r="A26" s="14" t="inlineStr">
        <is>
          <t>Port as-is</t>
        </is>
      </c>
      <c r="B26" s="14">
        <f>COUNTIF('Accounts Inventory'!$K$2:$K$25,$A$26)</f>
        <v/>
      </c>
    </row>
    <row r="27">
      <c r="A27" s="14" t="inlineStr">
        <is>
          <t>Redesign</t>
        </is>
      </c>
      <c r="B27" s="14">
        <f>COUNTIF('Accounts Inventory'!$K$2:$K$25,$A$27)</f>
        <v/>
      </c>
    </row>
    <row r="28">
      <c r="A28" s="14" t="inlineStr">
        <is>
          <t>Drop</t>
        </is>
      </c>
      <c r="B28" s="14">
        <f>COUNTIF('Accounts Inventory'!$K$2:$K$25,$A$28)</f>
        <v/>
      </c>
    </row>
    <row r="29">
      <c r="A29" s="14" t="inlineStr">
        <is>
          <t>Needs decision</t>
        </is>
      </c>
      <c r="B29" s="14">
        <f>COUNTIF('Accounts Inventory'!$K$2:$K$25,$A$29)</f>
        <v/>
      </c>
    </row>
    <row r="31">
      <c r="A31" s="11" t="inlineStr">
        <is>
          <t>Legend</t>
        </is>
      </c>
    </row>
    <row r="32">
      <c r="A32" s="13" t="inlineStr">
        <is>
          <t>Status</t>
        </is>
      </c>
    </row>
    <row r="33">
      <c r="A33" s="14" t="inlineStr">
        <is>
          <t>Not Started</t>
        </is>
      </c>
      <c r="D33" s="17" t="inlineStr">
        <is>
          <t>Inventoried, not begun.</t>
        </is>
      </c>
    </row>
    <row r="34">
      <c r="A34" s="14" t="inlineStr">
        <is>
          <t>In Progress</t>
        </is>
      </c>
      <c r="D34" s="17" t="inlineStr">
        <is>
          <t>Being built on the new shell.</t>
        </is>
      </c>
    </row>
    <row r="35">
      <c r="A35" s="14" t="inlineStr">
        <is>
          <t>In Review</t>
        </is>
      </c>
      <c r="D35" s="17" t="inlineStr">
        <is>
          <t>Built; awaiting parity check against v2.</t>
        </is>
      </c>
    </row>
    <row r="36">
      <c r="A36" s="14" t="inlineStr">
        <is>
          <t>Done</t>
        </is>
      </c>
      <c r="D36" s="17" t="inlineStr">
        <is>
          <t>At capability parity on the new shell, verified against v2.</t>
        </is>
      </c>
    </row>
    <row r="37">
      <c r="A37" s="14" t="inlineStr">
        <is>
          <t>Blocked</t>
        </is>
      </c>
      <c r="D37" s="17" t="inlineStr">
        <is>
          <t>Cannot proceed - reason goes in Notes / Gaps.</t>
        </is>
      </c>
    </row>
    <row r="38">
      <c r="A38" s="14" t="inlineStr">
        <is>
          <t>Excluded</t>
        </is>
      </c>
      <c r="D38" s="17" t="inlineStr">
        <is>
          <t>Deliberately not ported (dead code, or a decision recorded on the Gaps tab).</t>
        </is>
      </c>
    </row>
    <row r="40">
      <c r="A40" s="13" t="inlineStr">
        <is>
          <t>Traffic Priority</t>
        </is>
      </c>
    </row>
    <row r="41">
      <c r="A41" s="14" t="inlineStr">
        <is>
          <t>P0</t>
        </is>
      </c>
      <c r="D41" s="17" t="inlineStr">
        <is>
          <t>Top-traffic - sequence these first. The brief says sequence by traffic, not by screen order.</t>
        </is>
      </c>
    </row>
    <row r="42">
      <c r="A42" s="14" t="inlineStr">
        <is>
          <t>P1</t>
        </is>
      </c>
      <c r="D42" s="17" t="inlineStr">
        <is>
          <t>Regular use.</t>
        </is>
      </c>
    </row>
    <row r="43">
      <c r="A43" s="14" t="inlineStr">
        <is>
          <t>P2</t>
        </is>
      </c>
      <c r="D43" s="17" t="inlineStr">
        <is>
          <t>Rare or administrative.</t>
        </is>
      </c>
    </row>
    <row r="45">
      <c r="A45" s="13" t="inlineStr">
        <is>
          <t>Port Decision</t>
        </is>
      </c>
    </row>
    <row r="46">
      <c r="A46" s="14" t="inlineStr">
        <is>
          <t>Port as-is</t>
        </is>
      </c>
      <c r="D46" s="17" t="inlineStr">
        <is>
          <t>Capability and flow are sound; reproduce the capability on the new shell.</t>
        </is>
      </c>
    </row>
    <row r="47">
      <c r="A47" s="14" t="inlineStr">
        <is>
          <t>Redesign</t>
        </is>
      </c>
      <c r="D47" s="17" t="inlineStr">
        <is>
          <t>Capability must survive, the flow must not. Parity is the floor, not the ceiling.</t>
        </is>
      </c>
    </row>
    <row r="48">
      <c r="A48" s="14" t="inlineStr">
        <is>
          <t>Drop</t>
        </is>
      </c>
      <c r="D48" s="17" t="inlineStr">
        <is>
          <t>Do not carry forward. Requires a recorded decision on the Gaps tab.</t>
        </is>
      </c>
    </row>
    <row r="49">
      <c r="A49" s="14" t="inlineStr">
        <is>
          <t>Needs decision</t>
        </is>
      </c>
      <c r="D49" s="17" t="inlineStr">
        <is>
          <t>Owner or approach unresolved - resolve before the screen is scheduled.</t>
        </is>
      </c>
    </row>
    <row r="51">
      <c r="A51" s="13" t="inlineStr">
        <is>
          <t>The rule this sheet enforces</t>
        </is>
      </c>
    </row>
    <row r="52">
      <c r="A52" s="14" t="inlineStr">
        <is>
          <t>Parity is the floor</t>
        </is>
      </c>
      <c r="D52" s="17" t="inlineStr">
        <is>
          <t>Parity of capability, not of layout. Reproducing a bad screen faithfully is the failure mode. Nothing may be silently dropped - if it is not ported, it is written down on the Gaps tab.</t>
        </is>
      </c>
    </row>
    <row r="54">
      <c r="A54" s="12" t="inlineStr">
        <is>
          <t>Scope: v2/src/modules/Accounts only. AccountSettings and the wider /account/* route namespace are separate inventories.</t>
        </is>
      </c>
    </row>
    <row r="55">
      <c r="A55" s="12" t="inlineStr">
        <is>
          <t>Source: /Users/ashwanidohray/Github2026/v2 (branch checked at time of inventory). Dead-code findings verified by reading source, not inferred.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2026-09-18T14:51:27Z</dcterms:created>
  <dcterms:modified xsi:type="dcterms:W3CDTF">2026-09-18T14:51:27Z</dcterms:modified>
</cp:coreProperties>
</file>